
<file path=[Content_Types].xml><?xml version="1.0" encoding="utf-8"?>
<Types xmlns="http://schemas.openxmlformats.org/package/2006/content-types">
  <Default Extension="xml" ContentType="application/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5385e548843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faa04dcd1147ff83d35c800c327121.psmdcp" Id="R1a059bab87244987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Inputs" sheetId="1" r:id="rId2"/>
    <x:sheet name="Model" sheetId="2" r:id="rId3"/>
  </x:sheets>
  <x:calcPr calcId="125725" iterate="1" iterateCount="200" iterateDelta="0.0001"/>
</x:workbook>
</file>

<file path=xl/calcChain.xml><?xml version="1.0" encoding="utf-8"?>
<x:calcChain xmlns:x="http://schemas.openxmlformats.org/spreadsheetml/2006/main">
  <x:c r="B1" i="2"/>
  <x:c r="B2" i="2"/>
  <x:c r="B3" i="2"/>
  <x:c r="B4" i="2"/>
  <x:c r="B5" i="2"/>
  <x:c r="B6" i="2"/>
  <x:c r="B7" i="2"/>
</x:calcChain>
</file>

<file path=xl/sharedStrings.xml><?xml version="1.0" encoding="utf-8"?>
<x:sst xmlns:x="http://schemas.openxmlformats.org/spreadsheetml/2006/main">
  <x:si>
    <x:t>Revenue</x:t>
  </x:si>
  <x:si>
    <x:t>Opex ratio</x:t>
  </x:si>
  <x:si>
    <x:t>Tax rate</x:t>
  </x:si>
  <x:si>
    <x:t>Bonus rate</x:t>
  </x:si>
  <x:si>
    <x:t>Opex</x:t>
  </x:si>
  <x:si>
    <x:t>Profit before bonus</x:t>
  </x:si>
  <x:si>
    <x:t>Bonus</x:t>
  </x:si>
  <x:si>
    <x:t>Profit after bonus</x:t>
  </x:si>
  <x:si>
    <x:t>Tax</x:t>
  </x:si>
  <x:si>
    <x:t>Net 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</x:si>
</x:sst>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4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>
        <x:v>100000</x:v>
      </x:c>
    </x:row>
    <x:row r="2" spans="1:2">
      <x:c r="A2" s="0" t="s">
        <x:v>1</x:v>
      </x:c>
      <x:c r="B2" s="0">
        <x:v>0.4</x:v>
      </x:c>
    </x:row>
    <x:row r="3" spans="1:2">
      <x:c r="A3" s="0" t="s">
        <x:v>2</x:v>
      </x:c>
      <x:c r="B3" s="0">
        <x:v>0.3</x:v>
      </x:c>
    </x:row>
    <x:row r="4" spans="1:2">
      <x:c r="A4" s="0" t="s">
        <x:v>3</x:v>
      </x:c>
      <x:c r="B4" s="0">
        <x:v>0.2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>
        <x:f>Inputs!B1</x:f>
        <x:v>100000</x:v>
      </x:c>
    </x:row>
    <x:row r="2" spans="1:2">
      <x:c r="A2" s="0" t="s">
        <x:v>4</x:v>
      </x:c>
      <x:c r="B2" s="0">
        <x:f>Model!B1*Inputs!B2</x:f>
        <x:v>40000</x:v>
      </x:c>
    </x:row>
    <x:row r="3" spans="1:2">
      <x:c r="A3" s="0" t="s">
        <x:v>5</x:v>
      </x:c>
      <x:c r="B3" s="0">
        <x:f>Model!B1-Model!B2-Model!B4</x:f>
        <x:v>49999.9999962764</x:v>
      </x:c>
    </x:row>
    <x:row r="4" spans="1:2">
      <x:c r="A4" s="0" t="s">
        <x:v>6</x:v>
      </x:c>
      <x:c r="B4" s="0">
        <x:f>Model!B3*Inputs!B4</x:f>
        <x:v>9999.99999925527</x:v>
      </x:c>
    </x:row>
    <x:row r="5" spans="1:2">
      <x:c r="A5" s="0" t="s">
        <x:v>7</x:v>
      </x:c>
      <x:c r="B5" s="0">
        <x:f>Model!B3</x:f>
        <x:v>49999.9999962764</x:v>
      </x:c>
    </x:row>
    <x:row r="6" spans="1:2">
      <x:c r="A6" s="0" t="s">
        <x:v>8</x:v>
      </x:c>
      <x:c r="B6" s="0">
        <x:f>Model!B5*Inputs!B3</x:f>
        <x:v>14999.9999988829</x:v>
      </x:c>
    </x:row>
    <x:row r="7" spans="1:2">
      <x:c r="A7" s="0" t="s">
        <x:v>9</x:v>
      </x:c>
      <x:c r="B7" s="0">
        <x:f>Model!B5-Model!B6</x:f>
        <x:v>34999.9999973935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Inputs</vt:lpstr>
      <vt:lpstr>Model</vt:lpstr>
      <vt:lpstr>Inputs!Print_Area</vt:lpstr>
      <vt:lpstr>Inputs!Print_Titles</vt:lpstr>
      <vt:lpstr>Model!Print_Area</vt:lpstr>
      <vt:lpstr>Model!Print_Titles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