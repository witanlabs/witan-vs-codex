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f462d1a36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55939ddb0564f62"/>
    <x:sheet xmlns:r="http://schemas.openxmlformats.org/officeDocument/2006/relationships" name="Model" sheetId="2" r:id="R5f8502bb24d04e00"/>
  </x:sheets>
</x:workbook>
</file>

<file path=xl/sharedStrings.xml><?xml version="1.0" encoding="utf-8"?>
<x:sst xmlns:x="http://schemas.openxmlformats.org/spreadsheetml/2006/main">
  <x:si>
    <x:t xml:space="preserve">Revenue</x:t>
  </x:si>
  <x:si>
    <x:t xml:space="preserve">Opex ratio</x:t>
  </x:si>
  <x:si>
    <x:t xml:space="preserve">Tax rate</x:t>
  </x:si>
  <x:si>
    <x:t xml:space="preserve">Bonus rate</x:t>
  </x:si>
  <x:si>
    <x:t xml:space="preserve">Opex</x:t>
  </x:si>
  <x:si>
    <x:t xml:space="preserve">Profit before bonus</x:t>
  </x:si>
  <x:si>
    <x:t xml:space="preserve">Bonus</x:t>
  </x:si>
  <x:si>
    <x:t xml:space="preserve">Profit after bonus</x:t>
  </x:si>
  <x:si>
    <x:t xml:space="preserve">Tax</x:t>
  </x:si>
  <x:si>
    <x:t xml:space="preserve">Net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</x:si>
</x:sst>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922b28a7c4206" /><Relationship Type="http://schemas.openxmlformats.org/officeDocument/2006/relationships/theme" Target="/xl/theme/theme1.xml" Id="R764107bea49f4555" /><Relationship Type="http://schemas.openxmlformats.org/officeDocument/2006/relationships/sharedStrings" Target="/xl/sharedStrings.xml" Id="R8a53e9d23e5b4a29" /><Relationship Type="http://schemas.openxmlformats.org/officeDocument/2006/relationships/worksheet" Target="/xl/worksheets/sheet1.xml" Id="R255939ddb0564f62" /><Relationship Type="http://schemas.openxmlformats.org/officeDocument/2006/relationships/worksheet" Target="/xl/worksheets/sheet2.xml" Id="R5f8502bb24d04e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0</x:v>
      </x:c>
      <x:c r="B1">
        <x:v>100000</x:v>
      </x:c>
    </x:row>
    <x:row r="2">
      <x:c r="A2" t="s">
        <x:v>1</x:v>
      </x:c>
      <x:c r="B2">
        <x:v>0.4</x:v>
      </x:c>
    </x:row>
    <x:row r="3">
      <x:c r="A3" t="s">
        <x:v>2</x:v>
      </x:c>
      <x:c r="B3">
        <x:v>0.3</x:v>
      </x:c>
    </x:row>
    <x:row r="4">
      <x:c r="A4" t="s">
        <x:v>3</x:v>
      </x:c>
      <x:c r="B4" t="n">
        <x:v>0.2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0</x:v>
      </x:c>
      <x:c r="B1" t="n">
        <x:f>Inputs!B1</x:f>
        <x:v>100000</x:v>
      </x:c>
    </x:row>
    <x:row r="2">
      <x:c r="A2" t="s">
        <x:v>4</x:v>
      </x:c>
      <x:c r="B2" t="n">
        <x:f>Model!B1*Inputs!B2</x:f>
        <x:v>40000</x:v>
      </x:c>
    </x:row>
    <x:row r="3">
      <x:c r="A3" t="s">
        <x:v>5</x:v>
      </x:c>
      <x:c r="B3">
        <x:f>Model!B1-Model!B2-Model!B4</x:f>
        <x:v>54545.45454</x:v>
      </x:c>
    </x:row>
    <x:row r="4">
      <x:c r="A4" t="s">
        <x:v>6</x:v>
      </x:c>
      <x:c r="B4">
        <x:f>Model!B3*Inputs!B4</x:f>
        <x:v>5454.545454</x:v>
      </x:c>
    </x:row>
    <x:row r="5">
      <x:c r="A5" t="s">
        <x:v>7</x:v>
      </x:c>
      <x:c r="B5" t="n">
        <x:f>Model!B3</x:f>
        <x:v>54545.45454</x:v>
      </x:c>
    </x:row>
    <x:row r="6">
      <x:c r="A6" t="s">
        <x:v>8</x:v>
      </x:c>
      <x:c r="B6" t="n">
        <x:f>Model!B5*Inputs!B3</x:f>
        <x:v>16363.636362</x:v>
      </x:c>
    </x:row>
    <x:row r="7">
      <x:c r="A7" t="s">
        <x:v>9</x:v>
      </x:c>
      <x:c r="B7" t="n">
        <x:f>Model!B5-Model!B6</x:f>
        <x:v>38181.818178</x:v>
      </x:c>
    </x:row>
  </x:sheetData>
  <x:pageMargins left="0.7" right="0.7" top="0.75" bottom="0.75" header="0.3" footer="0.3"/>
</x:worksheet>
</file>