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metadata1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b3d166bf6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8d9e43b32541de81916c0fe896c789.psmdcp" Id="Rd5980eefbe0c4b0f" 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  <x:sheet name="Jan" sheetId="2" r:id="rId3"/>
    <x:sheet name="Feb" sheetId="3" r:id="rId4"/>
    <x:sheet name="Mar" sheetId="4" r:id="rId5"/>
    <x:sheet name="Config" sheetId="5" r:id="rId6"/>
    <x:sheet name="Summary" sheetId="6" r:id="rId7"/>
  </x:sheets>
  <x:calcPr calcId="125725"/>
  <x:extLst>
    <x:ext xmlns:xcalcf="http://schemas.microsoft.com/office/spreadsheetml/2018/calcfeatures" uri="{B58B0392-4F1F-4190-BB64-5DF3571DCE5F}">
      <xcalcf:calcFeatures xmlns:xcalcf="http://schemas.microsoft.com/office/spreadsheetml/2018/calcfeatures">
        <xcalcf:feature name="microsoft.com:LET_WF"/>
        <xcalcf:feature name="microsoft.com:LAMBDA_WF"/>
      </xcalcf:calcFeatures>
    </x:ext>
  </x:extLst>
</x:workbook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<x:sst xmlns:x="http://schemas.openxmlformats.org/spreadsheetml/2006/main">
  <x:si>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Item</x:t>
  </x:si>
  <x:si>
    <x:t>Qty</x:t>
  </x:si>
  <x:si>
    <x:t>Price</x:t>
  </x:si>
  <x:si>
    <x:t>A</x:t>
  </x:si>
  <x:si>
    <x:t>B</x:t>
  </x:si>
  <x:si>
    <x:t>C</x:t>
  </x:si>
  <x:si>
    <x:t>D</x:t>
  </x:si>
  <x:si>
    <x:t>Metric</x:t>
  </x:si>
  <x:si>
    <x:t>Value</x:t>
  </x:si>
  <x:si>
    <x:t>Sales</x:t>
  </x:si>
  <x:si>
    <x:t>IndirectSheet</x:t>
  </x:si>
  <x:si>
    <x:t>Data</x:t>
  </x:si>
  <x:si>
    <x:t>IndirectRange</x:t>
  </x:si>
  <x:si>
    <x:t>B2:B5</x:t>
  </x:si>
  <x:si>
    <x:t>Formula</x:t>
  </x:si>
  <x:si>
    <x:t>Expected</x:t>
  </x:si>
  <x:si>
    <x:t>Actual</x:t>
  </x:si>
  <x:si>
    <x:t>TEXT multi-section accounting</x:t>
  </x:si>
  <x:si>
    <x:t>($1,234.57)</x:t>
  </x:si>
  <x:si>
    <x:t>TEXT conditional percent sections</x:t>
  </x:si>
  <x:si>
    <x:t>37.5%</x:t>
  </x:si>
  <x:si>
    <x:t>3D SUM</x:t>
  </x:si>
  <x:si>
    <x:t>OFFSET SUM</x:t>
  </x:si>
  <x:si>
    <x:t>INDIRECT SUM</x:t>
  </x:si>
  <x:si>
    <x:t>MAP double SUM</x:t>
  </x:si>
  <x:si>
    <x:t>REDUCE square SUM</x:t>
  </x:si>
  <x:si>
    <x:t>LET qty*price SUM</x:t>
  </x:si>
  <x:si>
    <x:t>XLOOKUP price for C</x:t>
  </x:si>
  <x:si>
    <x:t>INDEX/XMATCH price for D</x:t>
  </x:si>
  <x:si>
    <x:t>TEXTJOIN(MAP(...))</x:t>
  </x:si>
  <x:si>
    <x:t>A:1,B:2,C:3,D:4</x:t>
  </x:si>
  <x:si>
    <x:t>SUMPRODUCT filtered qty</x:t>
  </x:si>
  <x:si>
    <x:t>SUM(SEQUENCE(3))</x:t>
  </x:si>
  <x:si>
    <x:t>SUM(BYROW(...))</x:t>
  </x:si>
  <x:si>
    <x:t>SUM(CHOOSECOLS(...))</x:t>
  </x:si>
  <x:si>
    <x:t>SUM(TAKE(...,2))</x:t>
  </x:si>
  <x:si>
    <x:t>SUM(DROP(...,2))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</x:si>
</x:sst>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Relationship Type="http://schemas.openxmlformats.org/officeDocument/2006/relationships/sheetMetadata" Target="/xl/metadata1.xml" Id="Rc4dcec12baa044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5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</x:v>
      </x:c>
      <x:c r="C2" s="0">
        <x:v>10</x:v>
      </x:c>
    </x:row>
    <x:row r="3" spans="1:3">
      <x:c r="A3" s="0" t="s">
        <x:v>4</x:v>
      </x:c>
      <x:c r="B3" s="0">
        <x:v>2</x:v>
      </x:c>
      <x:c r="C3" s="0">
        <x:v>20</x:v>
      </x:c>
    </x:row>
    <x:row r="4" spans="1:3">
      <x:c r="A4" s="0" t="s">
        <x:v>5</x:v>
      </x:c>
      <x:c r="B4" s="0">
        <x:v>3</x:v>
      </x:c>
      <x:c r="C4" s="0">
        <x:v>30</x:v>
      </x:c>
    </x:row>
    <x:row r="5" spans="1:3">
      <x:c r="A5" s="0" t="s">
        <x:v>6</x:v>
      </x:c>
      <x:c r="B5" s="0">
        <x:v>4</x:v>
      </x:c>
      <x:c r="C5" s="0">
        <x:v>40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7</x:v>
      </x:c>
      <x:c r="B1" s="0" t="s">
        <x:v>8</x:v>
      </x:c>
    </x:row>
    <x:row r="2" spans="1:2">
      <x:c r="A2" s="0" t="s">
        <x:v>9</x:v>
      </x:c>
      <x:c r="B2" s="0">
        <x:v>10</x:v>
      </x:c>
    </x:row>
  </x:sheetData>
  <x:headerFooter/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B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7</x:v>
      </x:c>
      <x:c r="B1" s="0" t="s">
        <x:v>8</x:v>
      </x:c>
    </x:row>
    <x:row r="2" spans="1:2">
      <x:c r="A2" s="0" t="s">
        <x:v>9</x:v>
      </x:c>
      <x:c r="B2" s="0">
        <x:v>20</x:v>
      </x:c>
    </x:row>
  </x:sheetData>
  <x:headerFooter/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B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7</x:v>
      </x:c>
      <x:c r="B1" s="0" t="s">
        <x:v>8</x:v>
      </x:c>
    </x:row>
    <x:row r="2" spans="1:2">
      <x:c r="A2" s="0" t="s">
        <x:v>9</x:v>
      </x:c>
      <x:c r="B2" s="0">
        <x:v>30</x:v>
      </x:c>
    </x:row>
  </x:sheetData>
  <x:headerFooter/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B2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10</x:v>
      </x:c>
      <x:c r="B1" s="0" t="s">
        <x:v>11</x:v>
      </x:c>
    </x:row>
    <x:row r="2" spans="1:2">
      <x:c r="A2" s="0" t="s">
        <x:v>12</x:v>
      </x:c>
      <x:c r="B2" s="0" t="s">
        <x:v>13</x:v>
      </x:c>
    </x:row>
  </x:sheetData>
  <x:headerFooter/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C18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14</x:v>
      </x:c>
      <x:c r="B1" s="0" t="s">
        <x:v>15</x:v>
      </x:c>
      <x:c r="C1" s="0" t="s">
        <x:v>16</x:v>
      </x:c>
    </x:row>
    <x:row r="2" spans="1:3">
      <x:c r="A2" s="0" t="s">
        <x:v>17</x:v>
      </x:c>
      <x:c r="B2" s="0" t="s">
        <x:v>18</x:v>
      </x:c>
      <x:c r="C2" s="0" t="str">
        <x:f>TEXT(-1234.567,"[Green]$#,##0.00;[Red]($#,##0.00);0.00")</x:f>
        <x:v>($1,234.57)</x:v>
      </x:c>
    </x:row>
    <x:row r="3" spans="1:3">
      <x:c r="A3" s="0" t="s">
        <x:v>19</x:v>
      </x:c>
      <x:c r="B3" s="0" t="s">
        <x:v>20</x:v>
      </x:c>
      <x:c r="C3" s="0" t="str">
        <x:f>TEXT(0.375,"[&gt;=1]0.0%;[Red](0.0%);0.0%")</x:f>
        <x:v>37.5%</x:v>
      </x:c>
    </x:row>
    <x:row r="4" spans="1:3">
      <x:c r="A4" s="0" t="s">
        <x:v>21</x:v>
      </x:c>
      <x:c r="B4" s="0">
        <x:v>60</x:v>
      </x:c>
      <x:c r="C4" s="0">
        <x:f>SUM(Jan:Mar!B2)</x:f>
        <x:v>60</x:v>
      </x:c>
    </x:row>
    <x:row r="5" spans="1:3">
      <x:c r="A5" s="0" t="s">
        <x:v>22</x:v>
      </x:c>
      <x:c r="B5" s="0">
        <x:v>10</x:v>
      </x:c>
      <x:c r="C5" s="0">
        <x:f>SUM(OFFSET(Data!B2,0,0,4,1))</x:f>
        <x:v>10</x:v>
      </x:c>
    </x:row>
    <x:row r="6" spans="1:3">
      <x:c r="A6" s="0" t="s">
        <x:v>23</x:v>
      </x:c>
      <x:c r="B6" s="0">
        <x:v>10</x:v>
      </x:c>
      <x:c r="C6" s="0">
        <x:f>SUM(INDIRECT(Config!B1&amp;"!"&amp;Config!B2))</x:f>
        <x:v>10</x:v>
      </x:c>
    </x:row>
    <x:row r="7" spans="1:3">
      <x:c r="A7" s="0" t="s">
        <x:v>24</x:v>
      </x:c>
      <x:c r="B7" s="0">
        <x:v>20</x:v>
      </x:c>
      <x:c r="C7" s="0">
        <x:f>SUM(_xlfn.MAP(Data!B2:B5,_xlfn.LAMBDA(_xlpm.x,_xlpm.x*2)))</x:f>
        <x:v>20</x:v>
      </x:c>
    </x:row>
    <x:row r="8" spans="1:3">
      <x:c r="A8" s="0" t="s">
        <x:v>25</x:v>
      </x:c>
      <x:c r="B8" s="0">
        <x:v>30</x:v>
      </x:c>
      <x:c r="C8" s="0">
        <x:f>_xlfn.REDUCE(0,Data!B2:B5,_xlfn.LAMBDA(_xlpm.a,_xlpm.x,_xlpm.a+_xlpm.x^2))</x:f>
        <x:v>30</x:v>
      </x:c>
    </x:row>
    <x:row r="9" spans="1:3">
      <x:c r="A9" s="0" t="s">
        <x:v>26</x:v>
      </x:c>
      <x:c r="B9" s="0">
        <x:v>300</x:v>
      </x:c>
      <x:c r="C9" s="0" cm="1">
        <x:f t="array" ref="C9:C9">_xlfn.LET(_xlpm.q,Data!B2:B5,_xlpm.p,Data!C2:C5,SUM(_xlpm.q*_xlpm.p))</x:f>
        <x:v>300</x:v>
      </x:c>
    </x:row>
    <x:row r="10" spans="1:3">
      <x:c r="A10" s="0" t="s">
        <x:v>27</x:v>
      </x:c>
      <x:c r="B10" s="0">
        <x:v>30</x:v>
      </x:c>
      <x:c r="C10" s="0" cm="1">
        <x:f t="array" ref="C10:C10">_xlfn.XLOOKUP("C",Data!A2:A5,Data!C2:C5)</x:f>
        <x:v>30</x:v>
      </x:c>
    </x:row>
    <x:row r="11" spans="1:3">
      <x:c r="A11" s="0" t="s">
        <x:v>28</x:v>
      </x:c>
      <x:c r="B11" s="0">
        <x:v>40</x:v>
      </x:c>
      <x:c r="C11" s="0" cm="1">
        <x:f t="array" ref="C11:C11">INDEX(Data!C2:C5,_xlfn.XMATCH("D",Data!A2:A5))</x:f>
        <x:v>40</x:v>
      </x:c>
    </x:row>
    <x:row r="12" spans="1:3">
      <x:c r="A12" s="0" t="s">
        <x:v>29</x:v>
      </x:c>
      <x:c r="B12" s="0" t="s">
        <x:v>30</x:v>
      </x:c>
      <x:c r="C12" s="0" t="str" cm="1">
        <x:f t="array" ref="C12:C12">_xlfn.TEXTJOIN(",",TRUE,_xlfn.MAP(Data!A2:A5,Data!B2:B5,_xlfn.LAMBDA(_xlpm.item,_xlpm.qty,_xlpm.item&amp;":"&amp;_xlpm.qty)))</x:f>
        <x:v>A:1,B:2,C:3,D:4</x:v>
      </x:c>
    </x:row>
    <x:row r="13" spans="1:3">
      <x:c r="A13" s="0" t="s">
        <x:v>31</x:v>
      </x:c>
      <x:c r="B13" s="0">
        <x:v>9</x:v>
      </x:c>
      <x:c r="C13" s="0">
        <x:f>SUMPRODUCT((Data!C2:C5&gt;15)*Data!B2:B5)</x:f>
        <x:v>9</x:v>
      </x:c>
    </x:row>
    <x:row r="14" spans="1:3">
      <x:c r="A14" s="0" t="s">
        <x:v>32</x:v>
      </x:c>
      <x:c r="B14" s="0">
        <x:v>6</x:v>
      </x:c>
      <x:c r="C14" s="0">
        <x:f>SUM(_xlfn.SEQUENCE(3))</x:f>
        <x:v>6</x:v>
      </x:c>
    </x:row>
    <x:row r="15" spans="1:3">
      <x:c r="A15" s="0" t="s">
        <x:v>33</x:v>
      </x:c>
      <x:c r="B15" s="0">
        <x:v>110</x:v>
      </x:c>
      <x:c r="C15" s="0">
        <x:f>SUM(_xlfn.BYROW(Data!B2:C5,_xlfn.LAMBDA(_xlpm.r,SUM(_xlpm.r))))</x:f>
        <x:v>110</x:v>
      </x:c>
    </x:row>
    <x:row r="16" spans="1:3">
      <x:c r="A16" s="0" t="s">
        <x:v>34</x:v>
      </x:c>
      <x:c r="B16" s="0">
        <x:v>10</x:v>
      </x:c>
      <x:c r="C16" s="0">
        <x:f>SUM(_xlfn.CHOOSECOLS(Data!B2:C5,1))</x:f>
        <x:v>10</x:v>
      </x:c>
    </x:row>
    <x:row r="17" spans="1:3">
      <x:c r="A17" s="0" t="s">
        <x:v>35</x:v>
      </x:c>
      <x:c r="B17" s="0">
        <x:v>3</x:v>
      </x:c>
      <x:c r="C17" s="0">
        <x:f>SUM(_xlfn.TAKE(Data!B2:B5,2))</x:f>
        <x:v>3</x:v>
      </x:c>
    </x:row>
    <x:row r="18" spans="1:3">
      <x:c r="A18" s="0" t="s">
        <x:v>36</x:v>
      </x:c>
      <x:c r="B18" s="0">
        <x:v>7</x:v>
      </x:c>
      <x:c r="C18" s="0">
        <x:f>SUM(_xlfn.DROP(Data!B2:B5,2))</x:f>
        <x:v>7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Data</vt:lpstr>
      <vt:lpstr>Jan</vt:lpstr>
      <vt:lpstr>Feb</vt:lpstr>
      <vt:lpstr>Mar</vt:lpstr>
      <vt:lpstr>Config</vt:lpstr>
      <vt:lpstr>Summary</vt:lpstr>
      <vt:lpstr>Data!Print_Area</vt:lpstr>
      <vt:lpstr>Data!Print_Titles</vt:lpstr>
      <vt:lpstr>Jan!Print_Area</vt:lpstr>
      <vt:lpstr>Jan!Print_Titles</vt:lpstr>
      <vt:lpstr>Feb!Print_Area</vt:lpstr>
      <vt:lpstr>Feb!Print_Titles</vt:lpstr>
      <vt:lpstr>Mar!Print_Area</vt:lpstr>
      <vt:lpstr>Mar!Print_Titles</vt:lpstr>
      <vt:lpstr>Config!Print_Area</vt:lpstr>
      <vt:lpstr>Config!Print_Titles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