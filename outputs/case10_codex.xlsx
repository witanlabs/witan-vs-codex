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c571632c2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d13bd1dc064851"/>
    <x:sheet xmlns:r="http://schemas.openxmlformats.org/officeDocument/2006/relationships" name="Jan" sheetId="2" r:id="R4bfecd8218424609"/>
    <x:sheet xmlns:r="http://schemas.openxmlformats.org/officeDocument/2006/relationships" name="Feb" sheetId="3" r:id="R053c2f38c48c410a"/>
    <x:sheet xmlns:r="http://schemas.openxmlformats.org/officeDocument/2006/relationships" name="Mar" sheetId="4" r:id="R0e41113bf293436b"/>
    <x:sheet xmlns:r="http://schemas.openxmlformats.org/officeDocument/2006/relationships" name="Config" sheetId="5" r:id="Rd7708c763e554249"/>
    <x:sheet xmlns:r="http://schemas.openxmlformats.org/officeDocument/2006/relationships" name="Summary" sheetId="6" r:id="R9679922096e044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<x:sst xmlns:x="http://schemas.openxmlformats.org/spreadsheetml/2006/main">
  <x:si>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Item</x:t>
  </x:si>
  <x:si>
    <x:t xml:space="preserve">Qty</x:t>
  </x:si>
  <x:si>
    <x:t xml:space="preserve">Price</x:t>
  </x:si>
  <x:si>
    <x:t xml:space="preserve">A</x:t>
  </x:si>
  <x:si>
    <x:t xml:space="preserve">B</x:t>
  </x:si>
  <x:si>
    <x:t xml:space="preserve">C</x:t>
  </x:si>
  <x:si>
    <x:t xml:space="preserve">D</x:t>
  </x:si>
  <x:si>
    <x:t xml:space="preserve">Metric</x:t>
  </x:si>
  <x:si>
    <x:t xml:space="preserve">Value</x:t>
  </x:si>
  <x:si>
    <x:t xml:space="preserve">Sales</x:t>
  </x:si>
  <x:si>
    <x:t xml:space="preserve">IndirectSheet</x:t>
  </x:si>
  <x:si>
    <x:t xml:space="preserve">Data</x:t>
  </x:si>
  <x:si>
    <x:t xml:space="preserve">IndirectRange</x:t>
  </x:si>
  <x:si>
    <x:t xml:space="preserve">B2:B5</x:t>
  </x:si>
  <x:si>
    <x:t xml:space="preserve">Formula</x:t>
  </x:si>
  <x:si>
    <x:t xml:space="preserve">Expected</x:t>
  </x:si>
  <x:si>
    <x:t xml:space="preserve">Actual</x:t>
  </x:si>
  <x:si>
    <x:t xml:space="preserve">TEXT multi-section accounting</x:t>
  </x:si>
  <x:si>
    <x:t xml:space="preserve">($1,234.57)</x:t>
  </x:si>
  <x:si>
    <x:t xml:space="preserve">TEXT conditional percent sections</x:t>
  </x:si>
  <x:si>
    <x:t xml:space="preserve">37.5%</x:t>
  </x:si>
  <x:si>
    <x:t xml:space="preserve">3D SUM</x:t>
  </x:si>
  <x:si>
    <x:t xml:space="preserve">OFFSET SUM</x:t>
  </x:si>
  <x:si>
    <x:t xml:space="preserve">INDIRECT SUM</x:t>
  </x:si>
  <x:si>
    <x:t xml:space="preserve">MAP double SUM</x:t>
  </x:si>
  <x:si>
    <x:t xml:space="preserve">REDUCE square SUM</x:t>
  </x:si>
  <x:si>
    <x:t xml:space="preserve">LET qty*price SUM</x:t>
  </x:si>
  <x:si>
    <x:t xml:space="preserve">XLOOKUP price for C</x:t>
  </x:si>
  <x:si>
    <x:t xml:space="preserve">INDEX/XMATCH price for D</x:t>
  </x:si>
  <x:si>
    <x:t xml:space="preserve">TEXTJOIN(MAP(...))</x:t>
  </x:si>
  <x:si>
    <x:t xml:space="preserve">A:1,B:2,C:3,D:4</x:t>
  </x:si>
  <x:si>
    <x:t xml:space="preserve">SUMPRODUCT filtered qty</x:t>
  </x:si>
  <x:si>
    <x:t xml:space="preserve">SUM(SEQUENCE(3))</x:t>
  </x:si>
  <x:si>
    <x:t xml:space="preserve">SUM(BYROW(...))</x:t>
  </x:si>
  <x:si>
    <x:t xml:space="preserve">SUM(CHOOSECOLS(...))</x:t>
  </x:si>
  <x:si>
    <x:t xml:space="preserve">SUM(TAKE(...,2))</x:t>
  </x:si>
  <x:si>
    <x:t xml:space="preserve">SUM(DROP(...,2))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</x:si>
</x:sst>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d76fc249a4457" /><Relationship Type="http://schemas.openxmlformats.org/officeDocument/2006/relationships/theme" Target="/xl/theme/theme1.xml" Id="Recf850b46b134fea" /><Relationship Type="http://schemas.openxmlformats.org/officeDocument/2006/relationships/sheetMetadata" Target="/xl/metadata1.xml" Id="Rdf459150b2f54d5e" /><Relationship Type="http://schemas.openxmlformats.org/officeDocument/2006/relationships/sharedStrings" Target="/xl/sharedStrings.xml" Id="R6ee013e5fec94372" /><Relationship Type="http://schemas.openxmlformats.org/officeDocument/2006/relationships/worksheet" Target="/xl/worksheets/sheet1.xml" Id="Rd7d13bd1dc064851" /><Relationship Type="http://schemas.openxmlformats.org/officeDocument/2006/relationships/worksheet" Target="/xl/worksheets/sheet2.xml" Id="R4bfecd8218424609" /><Relationship Type="http://schemas.openxmlformats.org/officeDocument/2006/relationships/worksheet" Target="/xl/worksheets/sheet3.xml" Id="R053c2f38c48c410a" /><Relationship Type="http://schemas.openxmlformats.org/officeDocument/2006/relationships/worksheet" Target="/xl/worksheets/sheet4.xml" Id="R0e41113bf293436b" /><Relationship Type="http://schemas.openxmlformats.org/officeDocument/2006/relationships/worksheet" Target="/xl/worksheets/sheet5.xml" Id="Rd7708c763e554249" /><Relationship Type="http://schemas.openxmlformats.org/officeDocument/2006/relationships/worksheet" Target="/xl/worksheets/sheet6.xml" Id="R9679922096e044b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3" width="9.1406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</x:v>
      </x:c>
      <x:c r="C2">
        <x:v>10</x:v>
      </x:c>
    </x:row>
    <x:row r="3">
      <x:c r="A3" t="s">
        <x:v>4</x:v>
      </x:c>
      <x:c r="B3">
        <x:v>2</x:v>
      </x:c>
      <x:c r="C3">
        <x:v>20</x:v>
      </x:c>
    </x:row>
    <x:row r="4">
      <x:c r="A4" t="s">
        <x:v>5</x:v>
      </x:c>
      <x:c r="B4">
        <x:v>3</x:v>
      </x:c>
      <x:c r="C4">
        <x:v>30</x:v>
      </x:c>
    </x:row>
    <x:row r="5">
      <x:c r="A5" t="s">
        <x:v>6</x:v>
      </x:c>
      <x:c r="B5">
        <x:v>4</x:v>
      </x:c>
      <x:c r="C5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7</x:v>
      </x:c>
      <x:c r="B1" t="s">
        <x:v>8</x:v>
      </x:c>
    </x:row>
    <x:row r="2">
      <x:c r="A2" t="s">
        <x:v>9</x:v>
      </x:c>
      <x:c r="B2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7</x:v>
      </x:c>
      <x:c r="B1" t="s">
        <x:v>8</x:v>
      </x:c>
    </x:row>
    <x:row r="2">
      <x:c r="A2" t="s">
        <x:v>9</x:v>
      </x:c>
      <x:c r="B2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7</x:v>
      </x:c>
      <x:c r="B1" t="s">
        <x:v>8</x:v>
      </x:c>
    </x:row>
    <x:row r="2">
      <x:c r="A2" t="s">
        <x:v>9</x:v>
      </x:c>
      <x:c r="B2">
        <x:v>30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2" width="9.140625" customWidth="1"/>
  </x:cols>
  <x:sheetData>
    <x:row r="1">
      <x:c r="A1" t="s">
        <x:v>10</x:v>
      </x:c>
      <x:c r="B1" t="s">
        <x:v>11</x:v>
      </x:c>
    </x:row>
    <x:row r="2">
      <x:c r="A2" t="s">
        <x:v>12</x:v>
      </x:c>
      <x:c r="B2" t="s">
        <x:v>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3" width="9.140625" customWidth="1"/>
  </x:cols>
  <x:sheetData>
    <x:row r="1">
      <x:c r="A1" t="s">
        <x:v>14</x:v>
      </x:c>
      <x:c r="B1" t="s">
        <x:v>15</x:v>
      </x:c>
      <x:c r="C1" t="s">
        <x:v>16</x:v>
      </x:c>
    </x:row>
    <x:row r="2">
      <x:c r="A2" t="s">
        <x:v>17</x:v>
      </x:c>
      <x:c r="B2" t="s">
        <x:v>18</x:v>
      </x:c>
      <x:c r="C2" t="str">
        <x:f>TEXT(-1234.567,"[Green]$#,##0.00;[Red]($#,##0.00);0.00")</x:f>
        <x:v>($1,234.57)</x:v>
      </x:c>
    </x:row>
    <x:row r="3">
      <x:c r="A3" t="s">
        <x:v>19</x:v>
      </x:c>
      <x:c r="B3" t="s">
        <x:v>20</x:v>
      </x:c>
      <x:c r="C3" t="str">
        <x:f>TEXT(0.375,"[&gt;=1]0.0%;[Red](0.0%);0.0%")</x:f>
        <x:v>(37.5%)</x:v>
      </x:c>
    </x:row>
    <x:row r="4">
      <x:c r="A4" t="s">
        <x:v>21</x:v>
      </x:c>
      <x:c r="B4">
        <x:v>60</x:v>
      </x:c>
      <x:c r="C4" t="e">
        <x:f>SUM(Jan:Mar!B2)</x:f>
      </x:c>
    </x:row>
    <x:row r="5">
      <x:c r="A5" t="s">
        <x:v>22</x:v>
      </x:c>
      <x:c r="B5">
        <x:v>10</x:v>
      </x:c>
      <x:c r="C5" t="e">
        <x:f>SUM(OFFSET(Data!B2,0,0,4,1))</x:f>
      </x:c>
    </x:row>
    <x:row r="6">
      <x:c r="A6" t="s">
        <x:v>23</x:v>
      </x:c>
      <x:c r="B6">
        <x:v>10</x:v>
      </x:c>
      <x:c r="C6" t="e">
        <x:f>SUM(INDIRECT(Config!B1&amp;"!"&amp;Config!B2))</x:f>
      </x:c>
    </x:row>
    <x:row r="7">
      <x:c r="A7" t="s">
        <x:v>24</x:v>
      </x:c>
      <x:c r="B7">
        <x:v>20</x:v>
      </x:c>
      <x:c r="C7" t="e" cm="1">
        <x:f t="array" ref="C7">SUM(MAP(Data!B2:B5,_xlfn.LAMBDA(x,x*2)))</x:f>
      </x:c>
    </x:row>
    <x:row r="8">
      <x:c r="A8" t="s">
        <x:v>25</x:v>
      </x:c>
      <x:c r="B8">
        <x:v>30</x:v>
      </x:c>
      <x:c r="C8" t="e" cm="1">
        <x:f t="array" ref="C8">REDUCE(0,Data!B2:B5,_xlfn.LAMBDA(a,x,a+x^2))</x:f>
      </x:c>
    </x:row>
    <x:row r="9">
      <x:c r="A9" t="s">
        <x:v>26</x:v>
      </x:c>
      <x:c r="B9">
        <x:v>300</x:v>
      </x:c>
      <x:c r="C9" t="n">
        <x:f>LET(q,Data!B2:B5,p,Data!C2:C5,SUM(q*p))</x:f>
        <x:v>300</x:v>
      </x:c>
    </x:row>
    <x:row r="10">
      <x:c r="A10" t="s">
        <x:v>27</x:v>
      </x:c>
      <x:c r="B10">
        <x:v>30</x:v>
      </x:c>
      <x:c r="C10" t="n">
        <x:f>XLOOKUP("C",Data!A2:A5,Data!C2:C5)</x:f>
        <x:v>30</x:v>
      </x:c>
    </x:row>
    <x:row r="11">
      <x:c r="A11" t="s">
        <x:v>28</x:v>
      </x:c>
      <x:c r="B11">
        <x:v>40</x:v>
      </x:c>
      <x:c r="C11" t="n">
        <x:f>INDEX(Data!C2:C5,XMATCH("D",Data!A2:A5))</x:f>
        <x:v>40</x:v>
      </x:c>
    </x:row>
    <x:row r="12">
      <x:c r="A12" t="s">
        <x:v>29</x:v>
      </x:c>
      <x:c r="B12" t="s">
        <x:v>30</x:v>
      </x:c>
      <x:c r="C12" t="str" cm="1">
        <x:f t="array" ref="C12">TEXTJOIN(",",TRUE,MAP(Data!A2:A5,Data!B2:B5,_xlfn.LAMBDA(item,qty,item&amp;":"&amp;qty)))</x:f>
        <x:v>Error: MAP is not implemented. array=A,B,C,D, lambdaOrArray2=1,2,3,4, rest.length=1</x:v>
      </x:c>
    </x:row>
    <x:row r="13">
      <x:c r="A13" t="s">
        <x:v>31</x:v>
      </x:c>
      <x:c r="B13">
        <x:v>9</x:v>
      </x:c>
      <x:c r="C13" t="n">
        <x:f>SUMPRODUCT((Data!C2:C5&gt;15)*Data!B2:B5)</x:f>
        <x:v>9</x:v>
      </x:c>
    </x:row>
    <x:row r="14">
      <x:c r="A14" t="s">
        <x:v>32</x:v>
      </x:c>
      <x:c r="B14">
        <x:v>6</x:v>
      </x:c>
      <x:c r="C14" t="n">
        <x:f>SUM(SEQUENCE(3))</x:f>
        <x:v>6</x:v>
      </x:c>
    </x:row>
    <x:row r="15">
      <x:c r="A15" t="s">
        <x:v>33</x:v>
      </x:c>
      <x:c r="B15">
        <x:v>110</x:v>
      </x:c>
      <x:c r="C15" t="n" cm="1">
        <x:f t="array" ref="C15">SUM(BYROW(Data!B2:C5,_xlfn.LAMBDA(r,SUM(r))))</x:f>
        <x:v>110</x:v>
      </x:c>
    </x:row>
    <x:row r="16">
      <x:c r="A16" t="s">
        <x:v>34</x:v>
      </x:c>
      <x:c r="B16">
        <x:v>10</x:v>
      </x:c>
      <x:c r="C16" t="n">
        <x:f>SUM(CHOOSECOLS(Data!B2:C5,1))</x:f>
        <x:v>10</x:v>
      </x:c>
    </x:row>
    <x:row r="17">
      <x:c r="A17" t="s">
        <x:v>35</x:v>
      </x:c>
      <x:c r="B17">
        <x:v>3</x:v>
      </x:c>
      <x:c r="C17" t="n">
        <x:f>SUM(TAKE(Data!B2:B5,2))</x:f>
        <x:v>3</x:v>
      </x:c>
    </x:row>
    <x:row r="18">
      <x:c r="A18" t="s">
        <x:v>36</x:v>
      </x:c>
      <x:c r="B18">
        <x:v>7</x:v>
      </x:c>
      <x:c r="C18" t="n">
        <x:f>SUM(DROP(Data!B2:B5,2))</x:f>
        <x:v>7</x:v>
      </x:c>
    </x:row>
  </x:sheetData>
  <x:pageMargins left="0.7" right="0.7" top="0.75" bottom="0.75" header="0.3" footer="0.3"/>
</x:worksheet>
</file>